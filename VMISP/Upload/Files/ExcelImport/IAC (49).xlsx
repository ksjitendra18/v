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Z:\Gaurav Sharma\IAC\Meeting 49-2021\"/>
    </mc:Choice>
  </mc:AlternateContent>
  <bookViews>
    <workbookView xWindow="0" yWindow="0" windowWidth="21600" windowHeight="9735"/>
  </bookViews>
  <sheets>
    <sheet name="IAC" sheetId="2" r:id="rId1"/>
  </sheets>
  <calcPr calcId="152511"/>
</workbook>
</file>

<file path=xl/calcChain.xml><?xml version="1.0" encoding="utf-8"?>
<calcChain xmlns="http://schemas.openxmlformats.org/spreadsheetml/2006/main">
  <c r="AC30" i="2" l="1"/>
  <c r="AB30" i="2"/>
  <c r="AC29" i="2"/>
  <c r="AB29" i="2"/>
  <c r="AC28" i="2"/>
  <c r="AB28" i="2"/>
  <c r="AC27" i="2"/>
  <c r="AB27" i="2"/>
  <c r="AC26" i="2"/>
  <c r="AB26" i="2"/>
  <c r="AC25" i="2"/>
  <c r="AB25" i="2"/>
  <c r="AC24" i="2"/>
  <c r="AB24" i="2"/>
  <c r="AC23" i="2"/>
  <c r="AB23" i="2"/>
  <c r="AC22" i="2"/>
  <c r="AB22" i="2"/>
  <c r="AC21" i="2"/>
  <c r="AB21" i="2"/>
  <c r="AC20" i="2"/>
  <c r="AB20" i="2"/>
  <c r="AC19" i="2"/>
  <c r="AB19" i="2"/>
  <c r="AC18" i="2"/>
  <c r="AB18" i="2"/>
  <c r="AC17" i="2"/>
  <c r="AB17" i="2"/>
  <c r="AC16" i="2"/>
  <c r="AB16" i="2"/>
  <c r="AC15" i="2"/>
  <c r="AB15" i="2"/>
  <c r="AC14" i="2"/>
  <c r="AB14" i="2"/>
  <c r="AC13" i="2"/>
  <c r="AB13" i="2"/>
  <c r="AC12" i="2"/>
  <c r="AB12" i="2"/>
  <c r="AC11" i="2"/>
  <c r="AB11" i="2"/>
  <c r="AC10" i="2"/>
  <c r="AB10" i="2"/>
  <c r="AC9" i="2"/>
  <c r="AB9" i="2"/>
  <c r="AC8" i="2"/>
  <c r="AB8" i="2"/>
  <c r="AC7" i="2"/>
  <c r="AB7" i="2"/>
  <c r="AC6" i="2"/>
  <c r="AB6" i="2"/>
  <c r="AC5" i="2"/>
  <c r="AB5" i="2"/>
  <c r="AC4" i="2"/>
  <c r="AB4" i="2"/>
  <c r="AC3" i="2"/>
  <c r="AB3" i="2"/>
  <c r="AC2" i="2"/>
  <c r="AB2" i="2"/>
  <c r="F30" i="2" l="1"/>
  <c r="F10" i="2"/>
  <c r="F26" i="2"/>
  <c r="F15" i="2"/>
  <c r="F25" i="2"/>
  <c r="F20" i="2"/>
  <c r="F12" i="2"/>
  <c r="F2" i="2"/>
  <c r="F27" i="2"/>
  <c r="F8" i="2"/>
  <c r="F29" i="2"/>
  <c r="F19" i="2"/>
  <c r="F22" i="2"/>
  <c r="F13" i="2"/>
  <c r="F17" i="2"/>
  <c r="F5" i="2"/>
  <c r="F18" i="2"/>
  <c r="F24" i="2"/>
  <c r="F28" i="2"/>
  <c r="F16" i="2"/>
  <c r="F23" i="2"/>
  <c r="F11" i="2"/>
  <c r="F3" i="2"/>
  <c r="F21" i="2"/>
  <c r="F9" i="2"/>
  <c r="F7" i="2"/>
  <c r="F14" i="2"/>
  <c r="F6" i="2"/>
  <c r="F4" i="2"/>
</calcChain>
</file>

<file path=xl/sharedStrings.xml><?xml version="1.0" encoding="utf-8"?>
<sst xmlns="http://schemas.openxmlformats.org/spreadsheetml/2006/main" count="424" uniqueCount="211">
  <si>
    <t>ROWNO</t>
  </si>
  <si>
    <t>IACNO</t>
  </si>
  <si>
    <t>MEETNO</t>
  </si>
  <si>
    <t>IACNO_1</t>
  </si>
  <si>
    <t>VIGNO</t>
  </si>
  <si>
    <t>ACCUSED</t>
  </si>
  <si>
    <t>PFNUMBER</t>
  </si>
  <si>
    <t>DTRET</t>
  </si>
  <si>
    <t>SOURCE</t>
  </si>
  <si>
    <t>PRESENTPOSTING</t>
  </si>
  <si>
    <t>NAMEOFTHEBRANCH</t>
  </si>
  <si>
    <t>ZONE</t>
  </si>
  <si>
    <t>CIRCLEOFFICE</t>
  </si>
  <si>
    <t>DTIAC</t>
  </si>
  <si>
    <t>ACNAME</t>
  </si>
  <si>
    <t>RECDT</t>
  </si>
  <si>
    <t>DATEIADNOTE</t>
  </si>
  <si>
    <t>NATURECASE</t>
  </si>
  <si>
    <t>AMOUNT</t>
  </si>
  <si>
    <t>DA</t>
  </si>
  <si>
    <t>STATUS</t>
  </si>
  <si>
    <t>DAVIEW</t>
  </si>
  <si>
    <t>IACVIEW</t>
  </si>
  <si>
    <t>CVOVIEW</t>
  </si>
  <si>
    <t>CLOSUREDT</t>
  </si>
  <si>
    <t>STATUSCODE</t>
  </si>
  <si>
    <t>NEWZONESOLID</t>
  </si>
  <si>
    <t>NEWCIRCLESOLID</t>
  </si>
  <si>
    <t>BANKNAME</t>
  </si>
  <si>
    <t>DESIGNATION</t>
  </si>
  <si>
    <t>SCALE</t>
  </si>
  <si>
    <t>TMSACREFNO</t>
  </si>
  <si>
    <t>654000 - Zonal Office Meerut</t>
  </si>
  <si>
    <t>767800 - Zonal Office Shimla</t>
  </si>
  <si>
    <t>653600 - Zonal Office Delhi</t>
  </si>
  <si>
    <t>900200 - Zonal Office Amritsar</t>
  </si>
  <si>
    <t>902700 - Circle Office Bijnore</t>
  </si>
  <si>
    <t>653200 - Circle Office Kapurthala</t>
  </si>
  <si>
    <t>12790</t>
  </si>
  <si>
    <t>12794</t>
  </si>
  <si>
    <t>12774</t>
  </si>
  <si>
    <t>12777</t>
  </si>
  <si>
    <t>12783</t>
  </si>
  <si>
    <t>12793</t>
  </si>
  <si>
    <t>12778</t>
  </si>
  <si>
    <t>12796</t>
  </si>
  <si>
    <t>12792</t>
  </si>
  <si>
    <t>12776</t>
  </si>
  <si>
    <t>12780</t>
  </si>
  <si>
    <t>12781</t>
  </si>
  <si>
    <t>12782</t>
  </si>
  <si>
    <t>12791</t>
  </si>
  <si>
    <t>12788</t>
  </si>
  <si>
    <t>244000 - Balugloa</t>
  </si>
  <si>
    <t>183400 - Najibabad Kotdwar Road</t>
  </si>
  <si>
    <t>783600 - Ratnagiri</t>
  </si>
  <si>
    <t>171310 - Baidhan,Dist:Singrauli</t>
  </si>
  <si>
    <t>107700 - Bussowal</t>
  </si>
  <si>
    <t>294400 - Pheena</t>
  </si>
  <si>
    <t>086410 - Uttarkashi</t>
  </si>
  <si>
    <t>717000 - Daman</t>
  </si>
  <si>
    <t>796600 - Shahpur Jamal Ahatmali</t>
  </si>
  <si>
    <t>002700 - Ashok Nagar</t>
  </si>
  <si>
    <t>122810 - India Exposition Mart Ltd(Ieml)</t>
  </si>
  <si>
    <t>022710 - Bilaspur -Greater Noida</t>
  </si>
  <si>
    <t>111200 - Bilaspur</t>
  </si>
  <si>
    <t>134700 - Bhaguwala</t>
  </si>
  <si>
    <t>252500 - Mahasamund</t>
  </si>
  <si>
    <t>380300 - Circle Office Dharamshala</t>
  </si>
  <si>
    <t>905800 - Circle Office Kolhapur</t>
  </si>
  <si>
    <t>380000 - Circle Office Jabalpur</t>
  </si>
  <si>
    <t>919400 - Circle Office Tehri</t>
  </si>
  <si>
    <t>748600 - Circle Office Surat</t>
  </si>
  <si>
    <t>904900 - Circle Office Sagar</t>
  </si>
  <si>
    <t>748700 - Circle Office Noida</t>
  </si>
  <si>
    <t>380100 - Circle Office Raipur</t>
  </si>
  <si>
    <t>543800 - Zonal Office Mumbai</t>
  </si>
  <si>
    <t>767600 - Zonal Office Bhopal</t>
  </si>
  <si>
    <t>900400 - Zonal Office Dehradun</t>
  </si>
  <si>
    <t>900100 - Zonal Office Ahmedabad</t>
  </si>
  <si>
    <t>901100 - Zonal Office Raipur</t>
  </si>
  <si>
    <t>Staff Side case against Auditor for not reporting the Irregularities which were observed on the basis of Special Investigation Report dated 19.12.2020 conducted by Sh Pankaj Siddharth, ISA in the NPA A/c: M/s Fareed Ahmad &amp; Sons, BO: Najibabad KDR (1834), CO: Bijnore</t>
  </si>
  <si>
    <t>Irregularities observed on the basis of Special Investigation Report dated 02.12.2020 in NPA account of Anil Jayaram Kamble</t>
  </si>
  <si>
    <t>Irregularities observed on the basis of surprise inspection by vigilance officer</t>
  </si>
  <si>
    <t>Lapses as per irregularities observed in Compliance Audit Report dated 24.02.2021.</t>
  </si>
  <si>
    <t>Lapses observed in respect of investigation in ATM cash shortage amounting to Rs.1.70 lacs.</t>
  </si>
  <si>
    <t>Examination of Staff Accountability of erring official for Indiscipline and Non-Performance.</t>
  </si>
  <si>
    <t>Examination of Staff Accountability of Sh. Sanjay Kumar Rai for Indiscipline and Non-Performance.</t>
  </si>
  <si>
    <t>IAC0610211509</t>
  </si>
  <si>
    <t>IAC0610211510</t>
  </si>
  <si>
    <t>IAC0610211511</t>
  </si>
  <si>
    <t>IAC0610211512</t>
  </si>
  <si>
    <t>IAC0710211517</t>
  </si>
  <si>
    <t>IAC0710211518</t>
  </si>
  <si>
    <t>IAC0710211519</t>
  </si>
  <si>
    <t>IAC0810211521</t>
  </si>
  <si>
    <t>IAC0810211523</t>
  </si>
  <si>
    <t>IAC1110211524</t>
  </si>
  <si>
    <t>IAC1110211526</t>
  </si>
  <si>
    <t>IAC1110211527</t>
  </si>
  <si>
    <t>IAC1110211528</t>
  </si>
  <si>
    <t>IAC1210211531</t>
  </si>
  <si>
    <t>IAC2109211485</t>
  </si>
  <si>
    <t>MATTER UNDER CONSIDERATION</t>
  </si>
  <si>
    <t>N</t>
  </si>
  <si>
    <t>Y</t>
  </si>
  <si>
    <t>111316</t>
  </si>
  <si>
    <t>113587</t>
  </si>
  <si>
    <t>83769</t>
  </si>
  <si>
    <t>309395</t>
  </si>
  <si>
    <t>52472</t>
  </si>
  <si>
    <t>1322445</t>
  </si>
  <si>
    <t>86557</t>
  </si>
  <si>
    <t>316455</t>
  </si>
  <si>
    <t>326153</t>
  </si>
  <si>
    <t>326531</t>
  </si>
  <si>
    <t>1105589</t>
  </si>
  <si>
    <t>1411284</t>
  </si>
  <si>
    <t>335699</t>
  </si>
  <si>
    <t>309604</t>
  </si>
  <si>
    <t>329856</t>
  </si>
  <si>
    <t>344129</t>
  </si>
  <si>
    <t>352151</t>
  </si>
  <si>
    <t>324558</t>
  </si>
  <si>
    <t>78122</t>
  </si>
  <si>
    <t>302218</t>
  </si>
  <si>
    <t>309138</t>
  </si>
  <si>
    <t>97808</t>
  </si>
  <si>
    <t>1134655</t>
  </si>
  <si>
    <t>1302515</t>
  </si>
  <si>
    <t>302976</t>
  </si>
  <si>
    <t>302286</t>
  </si>
  <si>
    <t>316755</t>
  </si>
  <si>
    <t>335930</t>
  </si>
  <si>
    <t>56549</t>
  </si>
  <si>
    <t>31/01/2023</t>
  </si>
  <si>
    <t>31/12/2026</t>
  </si>
  <si>
    <t>30/06/2033</t>
  </si>
  <si>
    <t>30/11/2045</t>
  </si>
  <si>
    <t>31/12/2021</t>
  </si>
  <si>
    <t>30/09/2040</t>
  </si>
  <si>
    <t>31/12/2024</t>
  </si>
  <si>
    <t>31/01/2044</t>
  </si>
  <si>
    <t>31/12/2044</t>
  </si>
  <si>
    <t>30/09/2047</t>
  </si>
  <si>
    <t>31/12/2032</t>
  </si>
  <si>
    <t>30/09/2051</t>
  </si>
  <si>
    <t>31/07/2047</t>
  </si>
  <si>
    <t>31/01/2049</t>
  </si>
  <si>
    <t>30/09/2048</t>
  </si>
  <si>
    <t>30/06/2049</t>
  </si>
  <si>
    <t>31/03/2049</t>
  </si>
  <si>
    <t>31/01/2047</t>
  </si>
  <si>
    <t>31/07/2022</t>
  </si>
  <si>
    <t>31/08/2041</t>
  </si>
  <si>
    <t>31/08/2048</t>
  </si>
  <si>
    <t>29/02/2040</t>
  </si>
  <si>
    <t>31/08/2029</t>
  </si>
  <si>
    <t>31/10/2041</t>
  </si>
  <si>
    <t>31/08/2040</t>
  </si>
  <si>
    <t>30/09/2049</t>
  </si>
  <si>
    <t>31/08/2050</t>
  </si>
  <si>
    <t>31/10/2023</t>
  </si>
  <si>
    <t>SENIOR MANAGER</t>
  </si>
  <si>
    <t>DY MANAGER</t>
  </si>
  <si>
    <t>Concurrent Auditor</t>
  </si>
  <si>
    <t>MANAGER</t>
  </si>
  <si>
    <t>BRANCH MANAGER SCALE-II</t>
  </si>
  <si>
    <t>Branch Manager</t>
  </si>
  <si>
    <t>SR. BRANCH MANAGER</t>
  </si>
  <si>
    <t>Senior Branch Manager</t>
  </si>
  <si>
    <t>Assistant Manager</t>
  </si>
  <si>
    <t>OFFICER</t>
  </si>
  <si>
    <t>Special Assistant</t>
  </si>
  <si>
    <t>Chief Manager</t>
  </si>
  <si>
    <t>SR. MANAGER - IT(BD)</t>
  </si>
  <si>
    <t>49/2021</t>
  </si>
  <si>
    <t>12774-01</t>
  </si>
  <si>
    <t>12793-01</t>
  </si>
  <si>
    <t>12778-01</t>
  </si>
  <si>
    <t>12778-02</t>
  </si>
  <si>
    <t>12796-01</t>
  </si>
  <si>
    <t>12796-02</t>
  </si>
  <si>
    <t>12792-01</t>
  </si>
  <si>
    <t>12776-01</t>
  </si>
  <si>
    <t>12776-02</t>
  </si>
  <si>
    <t>12791-01</t>
  </si>
  <si>
    <t>12791-02</t>
  </si>
  <si>
    <t>HRDD HO</t>
  </si>
  <si>
    <t>ZO SHIMLA</t>
  </si>
  <si>
    <t>ZO MEERUT</t>
  </si>
  <si>
    <t>ZO MUMBAI</t>
  </si>
  <si>
    <t>ZO BHOPAL</t>
  </si>
  <si>
    <t>ZO AMRITSAR</t>
  </si>
  <si>
    <t>ZO DEHRADUN</t>
  </si>
  <si>
    <t>ZO DELHI</t>
  </si>
  <si>
    <t>ZO MEERYT</t>
  </si>
  <si>
    <t>ZO AHMADABAD</t>
  </si>
  <si>
    <t>CO BIJNORE</t>
  </si>
  <si>
    <t xml:space="preserve">Lapses as per Special Investigation of Account of M/s RN Traders &amp; Shri Deepak Nalwa. Staff Side Against :
</t>
  </si>
  <si>
    <t xml:space="preserve">Lapses observed on the basis of Special Investigation Report dated 12.12.2019 by Sh Vijay Pal Yadav, Chief Manager in Mudra Loan Accounts at Red Flagged Branch Office : Pheena (2944) under CO: Bijnore (9027).
</t>
  </si>
  <si>
    <t xml:space="preserve">Lapses observed on the basis of Special Investigation Report dated 12.12.2019 by Sh Vijay Pal Yadav, Chief Manager in Mudra Loan Accounts at Red Flagged Branch Office : Pheena (2944) under CO: Bijnore (9027).
</t>
  </si>
  <si>
    <t xml:space="preserve">Lapses as per special Investigation dated 18.01.2021 in loan accounts sanctioned during June , 2019 to May, 2020, staff side against:
</t>
  </si>
  <si>
    <t xml:space="preserve">Lapses observed on the basis of Special Investigation Report dated 18.07.2019 by Sh Ganesh Dubey, ISA in Mudra Loan Accounts at Red Flagged Branch BO: Shahpur Jamal (7966) under CO: Bijnore (9027).
</t>
  </si>
  <si>
    <t xml:space="preserve">Lapses observed on the basis of Special Investigation Report dated 06.05.2021 in NPA A/c M/s Digital World
</t>
  </si>
  <si>
    <t xml:space="preserve">Lapses observed on the basis of Special Investigation Report dated 06.05.2021 in NPA A/c M/s Digital World
</t>
  </si>
  <si>
    <t xml:space="preserve">Lapses/irregularities observed on the basis of Special Investigation Report dated 02.11.2020 by Sh Ritesh Kumar Singh, Chief Manager in Mudra Loan accounts at Red Flagged Branch, BO: Bhaguwala (1347), CO: Bijnore (9027).
 </t>
  </si>
  <si>
    <t xml:space="preserve">Lapses/irregularities observed on the basis of Special Investigation Report dated 02.11.2020 by Sh Ritesh Kumar Singh, Chief Manager in Mudra Loan accounts at Red Flagged Branch, BO: Bhaguwala (1347), CO: Bijnore (9027).
</t>
  </si>
  <si>
    <t xml:space="preserve">Lapses observed in NPA A/c of Pramod Singh, staff side against : 
</t>
  </si>
  <si>
    <t xml:space="preserve">Lapses as per special Investigation dated 18.01.2021 in loan accounts sanctioned during June , 2019 to May, 2020, staff side against:
 </t>
  </si>
  <si>
    <t>12790-01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</si>
</sst>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6">
    <xf numFmtId="0" fontId="0" fillId="0" borderId="0" xfId="0" applyFill="1" applyProtection="1"/>
    <xf numFmtId="0" fontId="0" fillId="0" borderId="0" xfId="0" applyFill="1" applyAlignment="1" applyProtection="1">
      <alignment horizontal="left" vertical="top"/>
    </xf>
    <xf numFmtId="0" fontId="0" fillId="0" borderId="0" xfId="0" applyNumberFormat="1" applyFill="1" applyAlignment="1" applyProtection="1">
      <alignment horizontal="left" vertical="top"/>
    </xf>
    <xf numFmtId="0" fontId="0" fillId="0" borderId="0" xfId="0" applyFill="1" applyAlignment="1" applyProtection="1">
      <alignment horizontal="left" vertical="top" wrapText="1"/>
    </xf>
    <xf numFmtId="14" fontId="0" fillId="0" borderId="0" xfId="0" applyNumberFormat="1" applyFill="1" applyAlignment="1" applyProtection="1">
      <alignment horizontal="left" vertical="top"/>
    </xf>
    <xf numFmtId="0" fontId="0" fillId="0" borderId="0" xfId="0" applyNumberFormat="1" applyFill="1" applyAlignment="1" applyProtection="1">
      <alignment horizontal="left" vertical="top" wrapText="1"/>
    </xf>
  </cellXfs>
  <cellStyles count="1">
    <cellStyle name="Normal" xfId="0" builtinId="0"/>
  </cellStyles>
  <dxfs count="34">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protection locked="1" hidden="0"/>
    </dxf>
    <dxf>
      <numFmt numFmtId="0" formatCode="General"/>
      <fill>
        <patternFill patternType="none">
          <fgColor indexed="64"/>
          <bgColor indexed="65"/>
        </patternFill>
      </fill>
      <alignment horizontal="left" vertical="top" textRotation="0" wrapText="1" indent="0" justifyLastLine="0" shrinkToFit="0" readingOrder="0"/>
      <protection locked="1" hidden="0"/>
    </dxf>
    <dxf>
      <alignment horizontal="left" vertical="top" textRotation="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protection locked="1" hidden="0"/>
    </dxf>
    <dxf>
      <alignment horizontal="left" vertical="top" textRotation="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protection locked="1" hidden="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F30" totalsRowShown="0" headerRowDxfId="33" dataDxfId="32">
  <autoFilter ref="A1:AF30"/>
  <tableColumns count="32">
    <tableColumn id="1" name="ROWNO" dataDxfId="31"/>
    <tableColumn id="2" name="IACNO" dataDxfId="30"/>
    <tableColumn id="3" name="MEETNO" dataDxfId="29"/>
    <tableColumn id="4" name="IACNO_1" dataDxfId="28"/>
    <tableColumn id="5" name="VIGNO" dataDxfId="27"/>
    <tableColumn id="6" name="ACCUSED" dataDxfId="26">
      <calculatedColumnFormula>CONCATENATE(Table1[[#This Row],[ACCUSED]],Table1[[#This Row],[DESIGNATION]])</calculatedColumnFormula>
    </tableColumn>
    <tableColumn id="30" name="DESIGNATION" dataDxfId="25"/>
    <tableColumn id="7" name="PFNUMBER" dataDxfId="24"/>
    <tableColumn id="8" name="DTRET" dataDxfId="23"/>
    <tableColumn id="9" name="SOURCE" dataDxfId="22"/>
    <tableColumn id="10" name="PRESENTPOSTING" dataDxfId="21"/>
    <tableColumn id="11" name="NAMEOFTHEBRANCH" dataDxfId="20"/>
    <tableColumn id="12" name="ZONE" dataDxfId="19"/>
    <tableColumn id="13" name="CIRCLEOFFICE" dataDxfId="18"/>
    <tableColumn id="14" name="DTIAC" dataDxfId="17"/>
    <tableColumn id="15" name="ACNAME" dataDxfId="16"/>
    <tableColumn id="16" name="RECDT" dataDxfId="15"/>
    <tableColumn id="17" name="DATEIADNOTE" dataDxfId="14"/>
    <tableColumn id="18" name="NATURECASE" dataDxfId="13"/>
    <tableColumn id="19" name="AMOUNT" dataDxfId="12"/>
    <tableColumn id="20" name="DA" dataDxfId="11"/>
    <tableColumn id="21" name="STATUS" dataDxfId="10"/>
    <tableColumn id="22" name="DAVIEW" dataDxfId="9"/>
    <tableColumn id="23" name="IACVIEW" dataDxfId="8"/>
    <tableColumn id="24" name="CVOVIEW" dataDxfId="7"/>
    <tableColumn id="25" name="CLOSUREDT" dataDxfId="6"/>
    <tableColumn id="26" name="STATUSCODE" dataDxfId="5"/>
    <tableColumn id="27" name="NEWZONESOLID" dataDxfId="4">
      <calculatedColumnFormula>LEFT(Table1[[#This Row],[ZONE]],6)</calculatedColumnFormula>
    </tableColumn>
    <tableColumn id="28" name="NEWCIRCLESOLID" dataDxfId="3">
      <calculatedColumnFormula>LEFT(Table1[[#This Row],[CIRCLEOFFICE]],6)</calculatedColumnFormula>
    </tableColumn>
    <tableColumn id="29" name="BANKNAME" dataDxfId="2"/>
    <tableColumn id="31" name="SCALE" dataDxfId="1"/>
    <tableColumn id="32" name="TMSACREFNO"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0"/>
  <sheetViews>
    <sheetView tabSelected="1" workbookViewId="0">
      <selection activeCell="C4" sqref="C4"/>
    </sheetView>
  </sheetViews>
  <sheetFormatPr defaultRowHeight="15" x14ac:dyDescent="0.25"/>
  <cols>
    <col min="1" max="1" width="10.28515625" style="1" customWidth="1"/>
    <col min="2" max="2" width="8.85546875" style="1" customWidth="1"/>
    <col min="3" max="3" width="10.5703125" style="1" customWidth="1"/>
    <col min="4" max="4" width="10.85546875" style="1" customWidth="1"/>
    <col min="5" max="5" width="9" style="1" hidden="1" customWidth="1"/>
    <col min="6" max="6" width="39.85546875" style="3" customWidth="1"/>
    <col min="7" max="7" width="15.140625" style="3" customWidth="1"/>
    <col min="8" max="8" width="12.85546875" style="1" customWidth="1"/>
    <col min="9" max="9" width="10.85546875" style="1" customWidth="1"/>
    <col min="10" max="10" width="10" style="1" hidden="1" customWidth="1"/>
    <col min="11" max="11" width="1.85546875" style="1" customWidth="1"/>
    <col min="12" max="12" width="17.7109375" style="1" customWidth="1"/>
    <col min="13" max="13" width="25.140625" style="3" customWidth="1"/>
    <col min="14" max="14" width="26.7109375" style="1" customWidth="1"/>
    <col min="15" max="15" width="12" style="1" customWidth="1"/>
    <col min="16" max="16" width="75.5703125" style="3" customWidth="1"/>
    <col min="17" max="17" width="13" style="1" customWidth="1"/>
    <col min="18" max="18" width="15.42578125" style="1" hidden="1" customWidth="1"/>
    <col min="19" max="19" width="14.42578125" style="1" hidden="1" customWidth="1"/>
    <col min="20" max="20" width="11.140625" style="1" hidden="1" customWidth="1"/>
    <col min="21" max="21" width="19.140625" style="1" customWidth="1"/>
    <col min="22" max="22" width="9.28515625" style="1" customWidth="1"/>
    <col min="23" max="23" width="10.140625" style="1" hidden="1" customWidth="1"/>
    <col min="24" max="24" width="10.7109375" style="1" customWidth="1"/>
    <col min="25" max="25" width="11.5703125" style="1" hidden="1" customWidth="1"/>
    <col min="26" max="26" width="13.140625" style="1" hidden="1" customWidth="1"/>
    <col min="27" max="27" width="14.140625" style="1" customWidth="1"/>
    <col min="28" max="28" width="17.28515625" style="1" customWidth="1"/>
    <col min="29" max="29" width="18.28515625" style="1" customWidth="1"/>
    <col min="30" max="30" width="13.42578125" style="1" hidden="1" customWidth="1"/>
    <col min="31" max="31" width="0" style="1" hidden="1" customWidth="1"/>
    <col min="32" max="32" width="13.85546875" style="1" customWidth="1"/>
    <col min="33" max="33" width="15.140625" style="1" customWidth="1"/>
    <col min="34" max="16384" width="9.140625" style="1"/>
  </cols>
  <sheetData>
    <row r="1" spans="1:32" x14ac:dyDescent="0.25">
      <c r="A1" s="1" t="s">
        <v>0</v>
      </c>
      <c r="B1" s="1" t="s">
        <v>1</v>
      </c>
      <c r="C1" s="1" t="s">
        <v>2</v>
      </c>
      <c r="D1" s="1" t="s">
        <v>3</v>
      </c>
      <c r="E1" s="1" t="s">
        <v>4</v>
      </c>
      <c r="F1" s="3" t="s">
        <v>5</v>
      </c>
      <c r="G1" s="3" t="s">
        <v>29</v>
      </c>
      <c r="H1" s="1" t="s">
        <v>6</v>
      </c>
      <c r="I1" s="1" t="s">
        <v>7</v>
      </c>
      <c r="J1" s="1" t="s">
        <v>8</v>
      </c>
      <c r="K1" s="1" t="s">
        <v>9</v>
      </c>
      <c r="L1" s="1" t="s">
        <v>10</v>
      </c>
      <c r="M1" s="3" t="s">
        <v>11</v>
      </c>
      <c r="N1" s="1" t="s">
        <v>12</v>
      </c>
      <c r="O1" s="1" t="s">
        <v>13</v>
      </c>
      <c r="P1" s="3"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30</v>
      </c>
      <c r="AF1" s="1" t="s">
        <v>31</v>
      </c>
    </row>
    <row r="2" spans="1:32" ht="45" x14ac:dyDescent="0.25">
      <c r="A2" s="1">
        <v>1</v>
      </c>
      <c r="B2" s="2" t="s">
        <v>38</v>
      </c>
      <c r="C2" s="1" t="s">
        <v>176</v>
      </c>
      <c r="D2" s="2" t="s">
        <v>38</v>
      </c>
      <c r="F2" s="5" t="str">
        <f ca="1">CONCATENATE(Table1[[#This Row],[ACCUSED]],Table1[[#This Row],[DESIGNATION]])</f>
        <v>LAKHBIR SINGH SENIOR MANAGER</v>
      </c>
      <c r="G2" s="5" t="s">
        <v>163</v>
      </c>
      <c r="H2" s="2" t="s">
        <v>106</v>
      </c>
      <c r="I2" s="2" t="s">
        <v>135</v>
      </c>
      <c r="L2" s="2" t="s">
        <v>53</v>
      </c>
      <c r="M2" s="2" t="s">
        <v>33</v>
      </c>
      <c r="N2" s="2" t="s">
        <v>68</v>
      </c>
      <c r="O2" s="4">
        <v>44483</v>
      </c>
      <c r="P2" s="5" t="s">
        <v>199</v>
      </c>
      <c r="Q2" s="4">
        <v>44490</v>
      </c>
      <c r="U2" s="1" t="s">
        <v>189</v>
      </c>
      <c r="V2" s="1" t="s">
        <v>103</v>
      </c>
      <c r="X2" s="2" t="s">
        <v>105</v>
      </c>
      <c r="AA2" s="1">
        <v>17</v>
      </c>
      <c r="AB2" s="2" t="str">
        <f>LEFT(Table1[[#This Row],[ZONE]],6)</f>
        <v>767800</v>
      </c>
      <c r="AC2" s="2" t="str">
        <f>LEFT(Table1[[#This Row],[CIRCLEOFFICE]],6)</f>
        <v>380300</v>
      </c>
      <c r="AF2" s="2" t="s">
        <v>88</v>
      </c>
    </row>
    <row r="3" spans="1:32" ht="45" x14ac:dyDescent="0.25">
      <c r="A3" s="1">
        <v>2</v>
      </c>
      <c r="B3" s="2" t="s">
        <v>210</v>
      </c>
      <c r="C3" s="1" t="s">
        <v>176</v>
      </c>
      <c r="D3" s="2"/>
      <c r="F3" s="5" t="str">
        <f ca="1">CONCATENATE(Table1[[#This Row],[ACCUSED]],Table1[[#This Row],[DESIGNATION]])</f>
        <v>MOHINDER PAL SHARMA DY MANAGER</v>
      </c>
      <c r="G3" s="5" t="s">
        <v>164</v>
      </c>
      <c r="H3" s="2" t="s">
        <v>107</v>
      </c>
      <c r="I3" s="2" t="s">
        <v>136</v>
      </c>
      <c r="L3" s="2" t="s">
        <v>53</v>
      </c>
      <c r="M3" s="2" t="s">
        <v>33</v>
      </c>
      <c r="N3" s="2" t="s">
        <v>68</v>
      </c>
      <c r="O3" s="4">
        <v>44483</v>
      </c>
      <c r="P3" s="5" t="s">
        <v>199</v>
      </c>
      <c r="Q3" s="4">
        <v>44490</v>
      </c>
      <c r="U3" s="1" t="s">
        <v>189</v>
      </c>
      <c r="V3" s="1" t="s">
        <v>103</v>
      </c>
      <c r="X3" s="2" t="s">
        <v>105</v>
      </c>
      <c r="AA3" s="1">
        <v>17</v>
      </c>
      <c r="AB3" s="2" t="str">
        <f>LEFT(Table1[[#This Row],[ZONE]],6)</f>
        <v>767800</v>
      </c>
      <c r="AC3" s="2" t="str">
        <f>LEFT(Table1[[#This Row],[CIRCLEOFFICE]],6)</f>
        <v>380300</v>
      </c>
      <c r="AF3" s="2" t="s">
        <v>88</v>
      </c>
    </row>
    <row r="4" spans="1:32" ht="60" x14ac:dyDescent="0.25">
      <c r="A4" s="1">
        <v>3</v>
      </c>
      <c r="B4" s="2" t="s">
        <v>39</v>
      </c>
      <c r="C4" s="1" t="s">
        <v>176</v>
      </c>
      <c r="D4" s="2" t="s">
        <v>39</v>
      </c>
      <c r="F4" s="5" t="str">
        <f ca="1">CONCATENATE(Table1[[#This Row],[ACCUSED]],Table1[[#This Row],[DESIGNATION]])</f>
        <v>GANESH DUBEY Concurrent Auditor</v>
      </c>
      <c r="G4" s="5" t="s">
        <v>165</v>
      </c>
      <c r="H4" s="2" t="s">
        <v>108</v>
      </c>
      <c r="I4" s="2" t="s">
        <v>137</v>
      </c>
      <c r="L4" s="2" t="s">
        <v>54</v>
      </c>
      <c r="M4" s="2" t="s">
        <v>32</v>
      </c>
      <c r="N4" s="2" t="s">
        <v>36</v>
      </c>
      <c r="O4" s="4">
        <v>44483</v>
      </c>
      <c r="P4" s="5" t="s">
        <v>81</v>
      </c>
      <c r="Q4" s="4">
        <v>44490</v>
      </c>
      <c r="U4" s="1" t="s">
        <v>190</v>
      </c>
      <c r="V4" s="1" t="s">
        <v>103</v>
      </c>
      <c r="X4" s="2" t="s">
        <v>104</v>
      </c>
      <c r="AA4" s="1">
        <v>17</v>
      </c>
      <c r="AB4" s="2" t="str">
        <f>LEFT(Table1[[#This Row],[ZONE]],6)</f>
        <v>654000</v>
      </c>
      <c r="AC4" s="2" t="str">
        <f>LEFT(Table1[[#This Row],[CIRCLEOFFICE]],6)</f>
        <v>902700</v>
      </c>
      <c r="AF4" s="2" t="s">
        <v>89</v>
      </c>
    </row>
    <row r="5" spans="1:32" ht="30" x14ac:dyDescent="0.25">
      <c r="A5" s="1">
        <v>4</v>
      </c>
      <c r="B5" s="2" t="s">
        <v>40</v>
      </c>
      <c r="C5" s="1" t="s">
        <v>176</v>
      </c>
      <c r="D5" s="2" t="s">
        <v>40</v>
      </c>
      <c r="F5" s="5" t="str">
        <f ca="1">CONCATENATE(Table1[[#This Row],[ACCUSED]],Table1[[#This Row],[DESIGNATION]])</f>
        <v>SUMIT KUMAR MANAGER</v>
      </c>
      <c r="G5" s="5" t="s">
        <v>166</v>
      </c>
      <c r="H5" s="2" t="s">
        <v>109</v>
      </c>
      <c r="I5" s="2" t="s">
        <v>138</v>
      </c>
      <c r="L5" s="2" t="s">
        <v>55</v>
      </c>
      <c r="M5" s="2" t="s">
        <v>76</v>
      </c>
      <c r="N5" s="2" t="s">
        <v>69</v>
      </c>
      <c r="O5" s="4">
        <v>44483</v>
      </c>
      <c r="P5" s="5" t="s">
        <v>82</v>
      </c>
      <c r="Q5" s="4">
        <v>44490</v>
      </c>
      <c r="U5" s="1" t="s">
        <v>191</v>
      </c>
      <c r="V5" s="1" t="s">
        <v>103</v>
      </c>
      <c r="X5" s="2" t="s">
        <v>104</v>
      </c>
      <c r="AA5" s="1">
        <v>17</v>
      </c>
      <c r="AB5" s="2" t="str">
        <f>LEFT(Table1[[#This Row],[ZONE]],6)</f>
        <v>543800</v>
      </c>
      <c r="AC5" s="2" t="str">
        <f>LEFT(Table1[[#This Row],[CIRCLEOFFICE]],6)</f>
        <v>905800</v>
      </c>
      <c r="AF5" s="2" t="s">
        <v>90</v>
      </c>
    </row>
    <row r="6" spans="1:32" ht="45" x14ac:dyDescent="0.25">
      <c r="A6" s="1">
        <v>5</v>
      </c>
      <c r="B6" s="2" t="s">
        <v>177</v>
      </c>
      <c r="C6" s="1" t="s">
        <v>176</v>
      </c>
      <c r="D6" s="2"/>
      <c r="F6" s="5" t="str">
        <f ca="1">CONCATENATE(Table1[[#This Row],[ACCUSED]],Table1[[#This Row],[DESIGNATION]])</f>
        <v>ARUNA U KELKAR BRANCH MANAGER SCALE-II</v>
      </c>
      <c r="G6" s="5" t="s">
        <v>167</v>
      </c>
      <c r="H6" s="2" t="s">
        <v>110</v>
      </c>
      <c r="I6" s="2" t="s">
        <v>139</v>
      </c>
      <c r="L6" s="2" t="s">
        <v>55</v>
      </c>
      <c r="M6" s="2" t="s">
        <v>76</v>
      </c>
      <c r="N6" s="2" t="s">
        <v>69</v>
      </c>
      <c r="O6" s="4">
        <v>44483</v>
      </c>
      <c r="P6" s="5" t="s">
        <v>82</v>
      </c>
      <c r="Q6" s="4">
        <v>44490</v>
      </c>
      <c r="U6" s="1" t="s">
        <v>191</v>
      </c>
      <c r="V6" s="1" t="s">
        <v>103</v>
      </c>
      <c r="X6" s="2" t="s">
        <v>104</v>
      </c>
      <c r="AA6" s="1">
        <v>17</v>
      </c>
      <c r="AB6" s="2" t="str">
        <f>LEFT(Table1[[#This Row],[ZONE]],6)</f>
        <v>543800</v>
      </c>
      <c r="AC6" s="2" t="str">
        <f>LEFT(Table1[[#This Row],[CIRCLEOFFICE]],6)</f>
        <v>905800</v>
      </c>
      <c r="AF6" s="2" t="s">
        <v>90</v>
      </c>
    </row>
    <row r="7" spans="1:32" ht="30" x14ac:dyDescent="0.25">
      <c r="A7" s="1">
        <v>6</v>
      </c>
      <c r="B7" s="2" t="s">
        <v>41</v>
      </c>
      <c r="C7" s="1" t="s">
        <v>176</v>
      </c>
      <c r="D7" s="2" t="s">
        <v>41</v>
      </c>
      <c r="F7" s="5" t="str">
        <f ca="1">CONCATENATE(Table1[[#This Row],[ACCUSED]],Table1[[#This Row],[DESIGNATION]])</f>
        <v>B ARAVINDHANBranch Manager</v>
      </c>
      <c r="G7" s="5" t="s">
        <v>168</v>
      </c>
      <c r="H7" s="2" t="s">
        <v>111</v>
      </c>
      <c r="I7" s="2" t="s">
        <v>140</v>
      </c>
      <c r="L7" s="2" t="s">
        <v>56</v>
      </c>
      <c r="M7" s="2" t="s">
        <v>77</v>
      </c>
      <c r="N7" s="2" t="s">
        <v>70</v>
      </c>
      <c r="O7" s="4">
        <v>44483</v>
      </c>
      <c r="P7" s="5" t="s">
        <v>83</v>
      </c>
      <c r="Q7" s="4">
        <v>44490</v>
      </c>
      <c r="U7" s="1" t="s">
        <v>192</v>
      </c>
      <c r="V7" s="1" t="s">
        <v>103</v>
      </c>
      <c r="X7" s="2" t="s">
        <v>104</v>
      </c>
      <c r="AA7" s="1">
        <v>17</v>
      </c>
      <c r="AB7" s="2" t="str">
        <f>LEFT(Table1[[#This Row],[ZONE]],6)</f>
        <v>767600</v>
      </c>
      <c r="AC7" s="2" t="str">
        <f>LEFT(Table1[[#This Row],[CIRCLEOFFICE]],6)</f>
        <v>380000</v>
      </c>
      <c r="AF7" s="2" t="s">
        <v>91</v>
      </c>
    </row>
    <row r="8" spans="1:32" ht="30" x14ac:dyDescent="0.25">
      <c r="A8" s="1">
        <v>7</v>
      </c>
      <c r="B8" s="2" t="s">
        <v>42</v>
      </c>
      <c r="C8" s="1" t="s">
        <v>176</v>
      </c>
      <c r="D8" s="2" t="s">
        <v>42</v>
      </c>
      <c r="F8" s="5" t="str">
        <f ca="1">CONCATENATE(Table1[[#This Row],[ACCUSED]],Table1[[#This Row],[DESIGNATION]])</f>
        <v>RAJ KAPOOR SR. BRANCH MANAGER</v>
      </c>
      <c r="G8" s="5" t="s">
        <v>169</v>
      </c>
      <c r="H8" s="2" t="s">
        <v>112</v>
      </c>
      <c r="I8" s="2" t="s">
        <v>141</v>
      </c>
      <c r="L8" s="2" t="s">
        <v>57</v>
      </c>
      <c r="M8" s="2" t="s">
        <v>35</v>
      </c>
      <c r="N8" s="2" t="s">
        <v>37</v>
      </c>
      <c r="O8" s="4">
        <v>44483</v>
      </c>
      <c r="P8" s="5" t="s">
        <v>84</v>
      </c>
      <c r="Q8" s="4">
        <v>44490</v>
      </c>
      <c r="U8" s="1" t="s">
        <v>193</v>
      </c>
      <c r="V8" s="1" t="s">
        <v>103</v>
      </c>
      <c r="X8" s="2" t="s">
        <v>104</v>
      </c>
      <c r="AA8" s="1">
        <v>17</v>
      </c>
      <c r="AB8" s="2" t="str">
        <f>LEFT(Table1[[#This Row],[ZONE]],6)</f>
        <v>900200</v>
      </c>
      <c r="AC8" s="2" t="str">
        <f>LEFT(Table1[[#This Row],[CIRCLEOFFICE]],6)</f>
        <v>653200</v>
      </c>
      <c r="AF8" s="2" t="s">
        <v>92</v>
      </c>
    </row>
    <row r="9" spans="1:32" ht="60" x14ac:dyDescent="0.25">
      <c r="A9" s="1">
        <v>8</v>
      </c>
      <c r="B9" s="2" t="s">
        <v>43</v>
      </c>
      <c r="C9" s="1" t="s">
        <v>176</v>
      </c>
      <c r="D9" s="2" t="s">
        <v>43</v>
      </c>
      <c r="F9" s="5" t="str">
        <f ca="1">CONCATENATE(Table1[[#This Row],[ACCUSED]],Table1[[#This Row],[DESIGNATION]])</f>
        <v>manish kumar gautam BRANCH MANAGER SCALE-II</v>
      </c>
      <c r="G9" s="5" t="s">
        <v>167</v>
      </c>
      <c r="H9" s="2" t="s">
        <v>113</v>
      </c>
      <c r="I9" s="2" t="s">
        <v>142</v>
      </c>
      <c r="L9" s="2" t="s">
        <v>58</v>
      </c>
      <c r="M9" s="2" t="s">
        <v>32</v>
      </c>
      <c r="N9" s="2" t="s">
        <v>36</v>
      </c>
      <c r="O9" s="4">
        <v>44483</v>
      </c>
      <c r="P9" s="5" t="s">
        <v>200</v>
      </c>
      <c r="Q9" s="4">
        <v>44490</v>
      </c>
      <c r="U9" s="1" t="s">
        <v>190</v>
      </c>
      <c r="V9" s="1" t="s">
        <v>103</v>
      </c>
      <c r="X9" s="2" t="s">
        <v>104</v>
      </c>
      <c r="AA9" s="1">
        <v>17</v>
      </c>
      <c r="AB9" s="2" t="str">
        <f>LEFT(Table1[[#This Row],[ZONE]],6)</f>
        <v>654000</v>
      </c>
      <c r="AC9" s="2" t="str">
        <f>LEFT(Table1[[#This Row],[CIRCLEOFFICE]],6)</f>
        <v>902700</v>
      </c>
      <c r="AF9" s="2" t="s">
        <v>93</v>
      </c>
    </row>
    <row r="10" spans="1:32" ht="60" x14ac:dyDescent="0.25">
      <c r="A10" s="1">
        <v>9</v>
      </c>
      <c r="B10" s="2" t="s">
        <v>178</v>
      </c>
      <c r="C10" s="1" t="s">
        <v>176</v>
      </c>
      <c r="D10" s="2"/>
      <c r="F10" s="5" t="str">
        <f ca="1">CONCATENATE(Table1[[#This Row],[ACCUSED]],Table1[[#This Row],[DESIGNATION]])</f>
        <v>PRAKASH RAO SENIOR MANAGER</v>
      </c>
      <c r="G10" s="5" t="s">
        <v>163</v>
      </c>
      <c r="H10" s="2" t="s">
        <v>114</v>
      </c>
      <c r="I10" s="2" t="s">
        <v>143</v>
      </c>
      <c r="L10" s="2" t="s">
        <v>58</v>
      </c>
      <c r="M10" s="2" t="s">
        <v>32</v>
      </c>
      <c r="N10" s="2" t="s">
        <v>36</v>
      </c>
      <c r="O10" s="4">
        <v>44483</v>
      </c>
      <c r="P10" s="5" t="s">
        <v>201</v>
      </c>
      <c r="Q10" s="4">
        <v>44490</v>
      </c>
      <c r="U10" s="1" t="s">
        <v>196</v>
      </c>
      <c r="V10" s="1" t="s">
        <v>103</v>
      </c>
      <c r="X10" s="2" t="s">
        <v>104</v>
      </c>
      <c r="AA10" s="1">
        <v>17</v>
      </c>
      <c r="AB10" s="2" t="str">
        <f>LEFT(Table1[[#This Row],[ZONE]],6)</f>
        <v>654000</v>
      </c>
      <c r="AC10" s="2" t="str">
        <f>LEFT(Table1[[#This Row],[CIRCLEOFFICE]],6)</f>
        <v>902700</v>
      </c>
      <c r="AF10" s="2" t="s">
        <v>93</v>
      </c>
    </row>
    <row r="11" spans="1:32" ht="60" x14ac:dyDescent="0.25">
      <c r="A11" s="1">
        <v>10</v>
      </c>
      <c r="B11" s="2" t="s">
        <v>178</v>
      </c>
      <c r="C11" s="1" t="s">
        <v>176</v>
      </c>
      <c r="D11" s="2"/>
      <c r="F11" s="5" t="str">
        <f ca="1">CONCATENATE(Table1[[#This Row],[ACCUSED]],Table1[[#This Row],[DESIGNATION]])</f>
        <v>ASHUTOSH SRIVASTAVA MANAGER</v>
      </c>
      <c r="G11" s="5" t="s">
        <v>166</v>
      </c>
      <c r="H11" s="2" t="s">
        <v>115</v>
      </c>
      <c r="I11" s="2" t="s">
        <v>144</v>
      </c>
      <c r="L11" s="2" t="s">
        <v>58</v>
      </c>
      <c r="M11" s="2" t="s">
        <v>32</v>
      </c>
      <c r="N11" s="2" t="s">
        <v>36</v>
      </c>
      <c r="O11" s="4">
        <v>44483</v>
      </c>
      <c r="P11" s="5" t="s">
        <v>200</v>
      </c>
      <c r="Q11" s="4">
        <v>44490</v>
      </c>
      <c r="U11" s="1" t="s">
        <v>190</v>
      </c>
      <c r="V11" s="1" t="s">
        <v>103</v>
      </c>
      <c r="X11" s="2" t="s">
        <v>104</v>
      </c>
      <c r="AA11" s="1">
        <v>17</v>
      </c>
      <c r="AB11" s="2" t="str">
        <f>LEFT(Table1[[#This Row],[ZONE]],6)</f>
        <v>654000</v>
      </c>
      <c r="AC11" s="2" t="str">
        <f>LEFT(Table1[[#This Row],[CIRCLEOFFICE]],6)</f>
        <v>902700</v>
      </c>
      <c r="AF11" s="2" t="s">
        <v>93</v>
      </c>
    </row>
    <row r="12" spans="1:32" ht="30" x14ac:dyDescent="0.25">
      <c r="A12" s="1">
        <v>11</v>
      </c>
      <c r="B12" s="2" t="s">
        <v>44</v>
      </c>
      <c r="C12" s="1" t="s">
        <v>176</v>
      </c>
      <c r="D12" s="2" t="s">
        <v>44</v>
      </c>
      <c r="F12" s="5" t="str">
        <f ca="1">CONCATENATE(Table1[[#This Row],[ACCUSED]],Table1[[#This Row],[DESIGNATION]])</f>
        <v>SURENDRA KUMAR .Senior Branch Manager</v>
      </c>
      <c r="G12" s="5" t="s">
        <v>170</v>
      </c>
      <c r="H12" s="2" t="s">
        <v>116</v>
      </c>
      <c r="I12" s="2" t="s">
        <v>145</v>
      </c>
      <c r="L12" s="2" t="s">
        <v>59</v>
      </c>
      <c r="M12" s="2" t="s">
        <v>78</v>
      </c>
      <c r="N12" s="2" t="s">
        <v>71</v>
      </c>
      <c r="O12" s="4">
        <v>44483</v>
      </c>
      <c r="P12" s="5" t="s">
        <v>85</v>
      </c>
      <c r="Q12" s="4">
        <v>44490</v>
      </c>
      <c r="U12" s="1" t="s">
        <v>194</v>
      </c>
      <c r="V12" s="1" t="s">
        <v>103</v>
      </c>
      <c r="X12" s="2" t="s">
        <v>105</v>
      </c>
      <c r="AA12" s="1">
        <v>17</v>
      </c>
      <c r="AB12" s="2" t="str">
        <f>LEFT(Table1[[#This Row],[ZONE]],6)</f>
        <v>900400</v>
      </c>
      <c r="AC12" s="2" t="str">
        <f>LEFT(Table1[[#This Row],[CIRCLEOFFICE]],6)</f>
        <v>919400</v>
      </c>
      <c r="AF12" s="2" t="s">
        <v>94</v>
      </c>
    </row>
    <row r="13" spans="1:32" ht="30" x14ac:dyDescent="0.25">
      <c r="A13" s="1">
        <v>12</v>
      </c>
      <c r="B13" s="2" t="s">
        <v>179</v>
      </c>
      <c r="C13" s="1" t="s">
        <v>176</v>
      </c>
      <c r="D13" s="2"/>
      <c r="F13" s="5" t="str">
        <f ca="1">CONCATENATE(Table1[[#This Row],[ACCUSED]],Table1[[#This Row],[DESIGNATION]])</f>
        <v>RAHUL Singh RAWATAssistant Manager</v>
      </c>
      <c r="G13" s="5" t="s">
        <v>171</v>
      </c>
      <c r="H13" s="2" t="s">
        <v>117</v>
      </c>
      <c r="I13" s="2" t="s">
        <v>146</v>
      </c>
      <c r="L13" s="2" t="s">
        <v>59</v>
      </c>
      <c r="M13" s="2" t="s">
        <v>78</v>
      </c>
      <c r="N13" s="2" t="s">
        <v>71</v>
      </c>
      <c r="O13" s="4">
        <v>44483</v>
      </c>
      <c r="P13" s="5" t="s">
        <v>85</v>
      </c>
      <c r="Q13" s="4">
        <v>44490</v>
      </c>
      <c r="U13" s="1" t="s">
        <v>194</v>
      </c>
      <c r="V13" s="1" t="s">
        <v>103</v>
      </c>
      <c r="X13" s="2" t="s">
        <v>105</v>
      </c>
      <c r="AA13" s="1">
        <v>17</v>
      </c>
      <c r="AB13" s="2" t="str">
        <f>LEFT(Table1[[#This Row],[ZONE]],6)</f>
        <v>900400</v>
      </c>
      <c r="AC13" s="2" t="str">
        <f>LEFT(Table1[[#This Row],[CIRCLEOFFICE]],6)</f>
        <v>919400</v>
      </c>
      <c r="AF13" s="2" t="s">
        <v>94</v>
      </c>
    </row>
    <row r="14" spans="1:32" ht="30" x14ac:dyDescent="0.25">
      <c r="A14" s="1">
        <v>13</v>
      </c>
      <c r="B14" s="2" t="s">
        <v>180</v>
      </c>
      <c r="C14" s="1" t="s">
        <v>176</v>
      </c>
      <c r="D14" s="2"/>
      <c r="F14" s="5" t="str">
        <f ca="1">CONCATENATE(Table1[[#This Row],[ACCUSED]],Table1[[#This Row],[DESIGNATION]])</f>
        <v>AMIT BISHT OFFICER</v>
      </c>
      <c r="G14" s="5" t="s">
        <v>172</v>
      </c>
      <c r="H14" s="2" t="s">
        <v>118</v>
      </c>
      <c r="I14" s="2" t="s">
        <v>147</v>
      </c>
      <c r="L14" s="2" t="s">
        <v>59</v>
      </c>
      <c r="M14" s="2" t="s">
        <v>78</v>
      </c>
      <c r="N14" s="2" t="s">
        <v>71</v>
      </c>
      <c r="O14" s="4">
        <v>44483</v>
      </c>
      <c r="P14" s="5" t="s">
        <v>85</v>
      </c>
      <c r="Q14" s="4">
        <v>44490</v>
      </c>
      <c r="U14" s="1" t="s">
        <v>194</v>
      </c>
      <c r="V14" s="1" t="s">
        <v>103</v>
      </c>
      <c r="X14" s="2" t="s">
        <v>105</v>
      </c>
      <c r="AA14" s="1">
        <v>17</v>
      </c>
      <c r="AB14" s="2" t="str">
        <f>LEFT(Table1[[#This Row],[ZONE]],6)</f>
        <v>900400</v>
      </c>
      <c r="AC14" s="2" t="str">
        <f>LEFT(Table1[[#This Row],[CIRCLEOFFICE]],6)</f>
        <v>919400</v>
      </c>
      <c r="AF14" s="2" t="s">
        <v>94</v>
      </c>
    </row>
    <row r="15" spans="1:32" ht="45" x14ac:dyDescent="0.25">
      <c r="A15" s="1">
        <v>14</v>
      </c>
      <c r="B15" s="2" t="s">
        <v>45</v>
      </c>
      <c r="C15" s="1" t="s">
        <v>176</v>
      </c>
      <c r="D15" s="2" t="s">
        <v>45</v>
      </c>
      <c r="F15" s="5" t="str">
        <f ca="1">CONCATENATE(Table1[[#This Row],[ACCUSED]],Table1[[#This Row],[DESIGNATION]])</f>
        <v>NILESHKUMAR NATHALAL PARMAR BRANCH MANAGER SCALE-II</v>
      </c>
      <c r="G15" s="5" t="s">
        <v>167</v>
      </c>
      <c r="H15" s="2" t="s">
        <v>119</v>
      </c>
      <c r="I15" s="2" t="s">
        <v>148</v>
      </c>
      <c r="L15" s="2" t="s">
        <v>60</v>
      </c>
      <c r="M15" s="2" t="s">
        <v>79</v>
      </c>
      <c r="N15" s="2" t="s">
        <v>72</v>
      </c>
      <c r="O15" s="4">
        <v>44483</v>
      </c>
      <c r="P15" s="5" t="s">
        <v>209</v>
      </c>
      <c r="Q15" s="4">
        <v>44490</v>
      </c>
      <c r="U15" s="1" t="s">
        <v>197</v>
      </c>
      <c r="V15" s="1" t="s">
        <v>103</v>
      </c>
      <c r="X15" s="2" t="s">
        <v>104</v>
      </c>
      <c r="AA15" s="1">
        <v>17</v>
      </c>
      <c r="AB15" s="2" t="str">
        <f>LEFT(Table1[[#This Row],[ZONE]],6)</f>
        <v>900100</v>
      </c>
      <c r="AC15" s="2" t="str">
        <f>LEFT(Table1[[#This Row],[CIRCLEOFFICE]],6)</f>
        <v>748600</v>
      </c>
      <c r="AF15" s="2" t="s">
        <v>95</v>
      </c>
    </row>
    <row r="16" spans="1:32" ht="45" x14ac:dyDescent="0.25">
      <c r="A16" s="1">
        <v>15</v>
      </c>
      <c r="B16" s="2" t="s">
        <v>181</v>
      </c>
      <c r="C16" s="1" t="s">
        <v>176</v>
      </c>
      <c r="D16" s="2"/>
      <c r="F16" s="5" t="str">
        <f ca="1">CONCATENATE(Table1[[#This Row],[ACCUSED]],Table1[[#This Row],[DESIGNATION]])</f>
        <v>KARISHMA RAMESHBHAI PATEL SR. BRANCH MANAGER</v>
      </c>
      <c r="G16" s="5" t="s">
        <v>169</v>
      </c>
      <c r="H16" s="2" t="s">
        <v>120</v>
      </c>
      <c r="I16" s="2" t="s">
        <v>149</v>
      </c>
      <c r="L16" s="2" t="s">
        <v>60</v>
      </c>
      <c r="M16" s="2" t="s">
        <v>79</v>
      </c>
      <c r="N16" s="2" t="s">
        <v>72</v>
      </c>
      <c r="O16" s="4">
        <v>44483</v>
      </c>
      <c r="P16" s="5" t="s">
        <v>202</v>
      </c>
      <c r="Q16" s="4">
        <v>44490</v>
      </c>
      <c r="U16" s="1" t="s">
        <v>197</v>
      </c>
      <c r="V16" s="1" t="s">
        <v>103</v>
      </c>
      <c r="X16" s="2" t="s">
        <v>105</v>
      </c>
      <c r="AA16" s="1">
        <v>17</v>
      </c>
      <c r="AB16" s="2" t="str">
        <f>LEFT(Table1[[#This Row],[ZONE]],6)</f>
        <v>900100</v>
      </c>
      <c r="AC16" s="2" t="str">
        <f>LEFT(Table1[[#This Row],[CIRCLEOFFICE]],6)</f>
        <v>748600</v>
      </c>
      <c r="AF16" s="2" t="s">
        <v>95</v>
      </c>
    </row>
    <row r="17" spans="1:32" ht="45" x14ac:dyDescent="0.25">
      <c r="A17" s="1">
        <v>16</v>
      </c>
      <c r="B17" s="2" t="s">
        <v>182</v>
      </c>
      <c r="C17" s="1" t="s">
        <v>176</v>
      </c>
      <c r="D17" s="2"/>
      <c r="F17" s="5" t="str">
        <f ca="1">CONCATENATE(Table1[[#This Row],[ACCUSED]],Table1[[#This Row],[DESIGNATION]])</f>
        <v>RAJENDRA GANPAT JOSHI OFFICER</v>
      </c>
      <c r="G17" s="5" t="s">
        <v>172</v>
      </c>
      <c r="H17" s="2" t="s">
        <v>121</v>
      </c>
      <c r="I17" s="2" t="s">
        <v>150</v>
      </c>
      <c r="L17" s="2" t="s">
        <v>60</v>
      </c>
      <c r="M17" s="2" t="s">
        <v>79</v>
      </c>
      <c r="N17" s="2" t="s">
        <v>72</v>
      </c>
      <c r="O17" s="4">
        <v>44483</v>
      </c>
      <c r="P17" s="5" t="s">
        <v>202</v>
      </c>
      <c r="Q17" s="4">
        <v>44490</v>
      </c>
      <c r="U17" s="1" t="s">
        <v>197</v>
      </c>
      <c r="V17" s="1" t="s">
        <v>103</v>
      </c>
      <c r="X17" s="2" t="s">
        <v>104</v>
      </c>
      <c r="AA17" s="1">
        <v>17</v>
      </c>
      <c r="AB17" s="2" t="str">
        <f>LEFT(Table1[[#This Row],[ZONE]],6)</f>
        <v>900100</v>
      </c>
      <c r="AC17" s="2" t="str">
        <f>LEFT(Table1[[#This Row],[CIRCLEOFFICE]],6)</f>
        <v>748600</v>
      </c>
      <c r="AF17" s="2" t="s">
        <v>95</v>
      </c>
    </row>
    <row r="18" spans="1:32" ht="45" x14ac:dyDescent="0.25">
      <c r="A18" s="1">
        <v>17</v>
      </c>
      <c r="B18" s="2" t="s">
        <v>181</v>
      </c>
      <c r="C18" s="1" t="s">
        <v>176</v>
      </c>
      <c r="D18" s="2"/>
      <c r="F18" s="5" t="str">
        <f ca="1">CONCATENATE(Table1[[#This Row],[ACCUSED]],Table1[[#This Row],[DESIGNATION]])</f>
        <v>MAHADEV PRADEEP DALVI MANAGER</v>
      </c>
      <c r="G18" s="5" t="s">
        <v>166</v>
      </c>
      <c r="H18" s="2" t="s">
        <v>122</v>
      </c>
      <c r="I18" s="2" t="s">
        <v>151</v>
      </c>
      <c r="L18" s="2" t="s">
        <v>60</v>
      </c>
      <c r="M18" s="2" t="s">
        <v>79</v>
      </c>
      <c r="N18" s="2" t="s">
        <v>72</v>
      </c>
      <c r="O18" s="4">
        <v>44483</v>
      </c>
      <c r="P18" s="5" t="s">
        <v>202</v>
      </c>
      <c r="Q18" s="4">
        <v>44490</v>
      </c>
      <c r="U18" s="1" t="s">
        <v>197</v>
      </c>
      <c r="V18" s="1" t="s">
        <v>103</v>
      </c>
      <c r="X18" s="2" t="s">
        <v>104</v>
      </c>
      <c r="AA18" s="1">
        <v>17</v>
      </c>
      <c r="AB18" s="2" t="str">
        <f>LEFT(Table1[[#This Row],[ZONE]],6)</f>
        <v>900100</v>
      </c>
      <c r="AC18" s="2" t="str">
        <f>LEFT(Table1[[#This Row],[CIRCLEOFFICE]],6)</f>
        <v>748600</v>
      </c>
      <c r="AF18" s="2" t="s">
        <v>95</v>
      </c>
    </row>
    <row r="19" spans="1:32" ht="60" x14ac:dyDescent="0.25">
      <c r="A19" s="1">
        <v>18</v>
      </c>
      <c r="B19" s="2" t="s">
        <v>46</v>
      </c>
      <c r="C19" s="1" t="s">
        <v>176</v>
      </c>
      <c r="D19" s="2" t="s">
        <v>46</v>
      </c>
      <c r="F19" s="5" t="str">
        <f ca="1">CONCATENATE(Table1[[#This Row],[ACCUSED]],Table1[[#This Row],[DESIGNATION]])</f>
        <v>RACHIT TYAGI Special Assistant</v>
      </c>
      <c r="G19" s="5" t="s">
        <v>173</v>
      </c>
      <c r="H19" s="2" t="s">
        <v>123</v>
      </c>
      <c r="I19" s="2" t="s">
        <v>152</v>
      </c>
      <c r="L19" s="2" t="s">
        <v>61</v>
      </c>
      <c r="M19" s="2" t="s">
        <v>32</v>
      </c>
      <c r="N19" s="2" t="s">
        <v>36</v>
      </c>
      <c r="O19" s="4">
        <v>44483</v>
      </c>
      <c r="P19" s="5" t="s">
        <v>203</v>
      </c>
      <c r="Q19" s="4">
        <v>44490</v>
      </c>
      <c r="U19" s="1" t="s">
        <v>198</v>
      </c>
      <c r="V19" s="1" t="s">
        <v>103</v>
      </c>
      <c r="X19" s="2" t="s">
        <v>104</v>
      </c>
      <c r="AA19" s="1">
        <v>17</v>
      </c>
      <c r="AB19" s="2" t="str">
        <f>LEFT(Table1[[#This Row],[ZONE]],6)</f>
        <v>654000</v>
      </c>
      <c r="AC19" s="2" t="str">
        <f>LEFT(Table1[[#This Row],[CIRCLEOFFICE]],6)</f>
        <v>902700</v>
      </c>
      <c r="AF19" s="2" t="s">
        <v>96</v>
      </c>
    </row>
    <row r="20" spans="1:32" ht="60" x14ac:dyDescent="0.25">
      <c r="A20" s="1">
        <v>19</v>
      </c>
      <c r="B20" s="2" t="s">
        <v>183</v>
      </c>
      <c r="C20" s="1" t="s">
        <v>176</v>
      </c>
      <c r="D20" s="2"/>
      <c r="F20" s="5" t="str">
        <f ca="1">CONCATENATE(Table1[[#This Row],[ACCUSED]],Table1[[#This Row],[DESIGNATION]])</f>
        <v>VIRENDRA KUMAR OFFICER</v>
      </c>
      <c r="G20" s="5" t="s">
        <v>172</v>
      </c>
      <c r="H20" s="2" t="s">
        <v>124</v>
      </c>
      <c r="I20" s="2" t="s">
        <v>153</v>
      </c>
      <c r="L20" s="2" t="s">
        <v>61</v>
      </c>
      <c r="M20" s="2" t="s">
        <v>32</v>
      </c>
      <c r="N20" s="2" t="s">
        <v>36</v>
      </c>
      <c r="O20" s="4">
        <v>44483</v>
      </c>
      <c r="P20" s="5" t="s">
        <v>203</v>
      </c>
      <c r="Q20" s="4">
        <v>44490</v>
      </c>
      <c r="U20" s="1" t="s">
        <v>190</v>
      </c>
      <c r="V20" s="1" t="s">
        <v>103</v>
      </c>
      <c r="X20" s="2" t="s">
        <v>104</v>
      </c>
      <c r="AA20" s="1">
        <v>17</v>
      </c>
      <c r="AB20" s="2" t="str">
        <f>LEFT(Table1[[#This Row],[ZONE]],6)</f>
        <v>654000</v>
      </c>
      <c r="AC20" s="2" t="str">
        <f>LEFT(Table1[[#This Row],[CIRCLEOFFICE]],6)</f>
        <v>902700</v>
      </c>
      <c r="AF20" s="2" t="s">
        <v>96</v>
      </c>
    </row>
    <row r="21" spans="1:32" ht="75" x14ac:dyDescent="0.25">
      <c r="A21" s="1">
        <v>20</v>
      </c>
      <c r="B21" s="2" t="s">
        <v>47</v>
      </c>
      <c r="C21" s="1" t="s">
        <v>176</v>
      </c>
      <c r="D21" s="2" t="s">
        <v>47</v>
      </c>
      <c r="F21" s="5" t="str">
        <f ca="1">CONCATENATE(Table1[[#This Row],[ACCUSED]],Table1[[#This Row],[DESIGNATION]])</f>
        <v>ANURAG KUMAR TIWARI SR. BRANCH MANAGER</v>
      </c>
      <c r="G21" s="5" t="s">
        <v>169</v>
      </c>
      <c r="H21" s="2" t="s">
        <v>125</v>
      </c>
      <c r="I21" s="2" t="s">
        <v>154</v>
      </c>
      <c r="L21" s="2" t="s">
        <v>62</v>
      </c>
      <c r="M21" s="2" t="s">
        <v>77</v>
      </c>
      <c r="N21" s="2" t="s">
        <v>73</v>
      </c>
      <c r="O21" s="4">
        <v>44483</v>
      </c>
      <c r="P21" s="5" t="s">
        <v>204</v>
      </c>
      <c r="Q21" s="4">
        <v>44490</v>
      </c>
      <c r="U21" s="1" t="s">
        <v>192</v>
      </c>
      <c r="V21" s="1" t="s">
        <v>103</v>
      </c>
      <c r="X21" s="2" t="s">
        <v>105</v>
      </c>
      <c r="AA21" s="1">
        <v>17</v>
      </c>
      <c r="AB21" s="2" t="str">
        <f>LEFT(Table1[[#This Row],[ZONE]],6)</f>
        <v>767600</v>
      </c>
      <c r="AC21" s="2" t="str">
        <f>LEFT(Table1[[#This Row],[CIRCLEOFFICE]],6)</f>
        <v>904900</v>
      </c>
      <c r="AF21" s="2" t="s">
        <v>97</v>
      </c>
    </row>
    <row r="22" spans="1:32" ht="45" x14ac:dyDescent="0.25">
      <c r="A22" s="1">
        <v>21</v>
      </c>
      <c r="B22" s="2" t="s">
        <v>184</v>
      </c>
      <c r="C22" s="1" t="s">
        <v>176</v>
      </c>
      <c r="D22" s="2"/>
      <c r="F22" s="5" t="str">
        <f ca="1">CONCATENATE(Table1[[#This Row],[ACCUSED]],Table1[[#This Row],[DESIGNATION]])</f>
        <v>DEEPAK . KISHANIYA SR. BRANCH MANAGER</v>
      </c>
      <c r="G22" s="5" t="s">
        <v>169</v>
      </c>
      <c r="H22" s="2" t="s">
        <v>126</v>
      </c>
      <c r="I22" s="2" t="s">
        <v>155</v>
      </c>
      <c r="L22" s="2" t="s">
        <v>62</v>
      </c>
      <c r="M22" s="2" t="s">
        <v>77</v>
      </c>
      <c r="N22" s="2" t="s">
        <v>73</v>
      </c>
      <c r="O22" s="4">
        <v>44483</v>
      </c>
      <c r="P22" s="5" t="s">
        <v>205</v>
      </c>
      <c r="Q22" s="4">
        <v>44490</v>
      </c>
      <c r="U22" s="1" t="s">
        <v>192</v>
      </c>
      <c r="V22" s="1" t="s">
        <v>103</v>
      </c>
      <c r="X22" s="2" t="s">
        <v>104</v>
      </c>
      <c r="AA22" s="1">
        <v>17</v>
      </c>
      <c r="AB22" s="2" t="str">
        <f>LEFT(Table1[[#This Row],[ZONE]],6)</f>
        <v>767600</v>
      </c>
      <c r="AC22" s="2" t="str">
        <f>LEFT(Table1[[#This Row],[CIRCLEOFFICE]],6)</f>
        <v>904900</v>
      </c>
      <c r="AF22" s="2" t="s">
        <v>97</v>
      </c>
    </row>
    <row r="23" spans="1:32" ht="45" x14ac:dyDescent="0.25">
      <c r="A23" s="1">
        <v>22</v>
      </c>
      <c r="B23" s="2" t="s">
        <v>185</v>
      </c>
      <c r="C23" s="1" t="s">
        <v>176</v>
      </c>
      <c r="D23" s="2"/>
      <c r="F23" s="5" t="str">
        <f ca="1">CONCATENATE(Table1[[#This Row],[ACCUSED]],Table1[[#This Row],[DESIGNATION]])</f>
        <v>MOHIT ANAND Chief Manager</v>
      </c>
      <c r="G23" s="5" t="s">
        <v>174</v>
      </c>
      <c r="H23" s="2" t="s">
        <v>127</v>
      </c>
      <c r="I23" s="2" t="s">
        <v>156</v>
      </c>
      <c r="L23" s="2" t="s">
        <v>62</v>
      </c>
      <c r="M23" s="2" t="s">
        <v>77</v>
      </c>
      <c r="N23" s="2" t="s">
        <v>73</v>
      </c>
      <c r="O23" s="4">
        <v>44483</v>
      </c>
      <c r="P23" s="5" t="s">
        <v>205</v>
      </c>
      <c r="Q23" s="4">
        <v>44490</v>
      </c>
      <c r="U23" s="1" t="s">
        <v>188</v>
      </c>
      <c r="V23" s="1" t="s">
        <v>103</v>
      </c>
      <c r="X23" s="2" t="s">
        <v>105</v>
      </c>
      <c r="AA23" s="1">
        <v>17</v>
      </c>
      <c r="AB23" s="2" t="str">
        <f>LEFT(Table1[[#This Row],[ZONE]],6)</f>
        <v>767600</v>
      </c>
      <c r="AC23" s="2" t="str">
        <f>LEFT(Table1[[#This Row],[CIRCLEOFFICE]],6)</f>
        <v>904900</v>
      </c>
      <c r="AF23" s="2" t="s">
        <v>97</v>
      </c>
    </row>
    <row r="24" spans="1:32" ht="30" x14ac:dyDescent="0.25">
      <c r="A24" s="1">
        <v>23</v>
      </c>
      <c r="B24" s="2" t="s">
        <v>48</v>
      </c>
      <c r="C24" s="1" t="s">
        <v>176</v>
      </c>
      <c r="D24" s="2" t="s">
        <v>48</v>
      </c>
      <c r="F24" s="5" t="str">
        <f ca="1">CONCATENATE(Table1[[#This Row],[ACCUSED]],Table1[[#This Row],[DESIGNATION]])</f>
        <v>sanjay kumar raiBranch Manager</v>
      </c>
      <c r="G24" s="5" t="s">
        <v>168</v>
      </c>
      <c r="H24" s="2" t="s">
        <v>128</v>
      </c>
      <c r="I24" s="2" t="s">
        <v>157</v>
      </c>
      <c r="L24" s="2" t="s">
        <v>63</v>
      </c>
      <c r="M24" s="2" t="s">
        <v>34</v>
      </c>
      <c r="N24" s="2" t="s">
        <v>74</v>
      </c>
      <c r="O24" s="4">
        <v>44483</v>
      </c>
      <c r="P24" s="5" t="s">
        <v>86</v>
      </c>
      <c r="Q24" s="4">
        <v>44490</v>
      </c>
      <c r="U24" s="1" t="s">
        <v>195</v>
      </c>
      <c r="V24" s="1" t="s">
        <v>103</v>
      </c>
      <c r="X24" s="2" t="s">
        <v>104</v>
      </c>
      <c r="AA24" s="1">
        <v>17</v>
      </c>
      <c r="AB24" s="2" t="str">
        <f>LEFT(Table1[[#This Row],[ZONE]],6)</f>
        <v>653600</v>
      </c>
      <c r="AC24" s="2" t="str">
        <f>LEFT(Table1[[#This Row],[CIRCLEOFFICE]],6)</f>
        <v>748700</v>
      </c>
      <c r="AF24" s="2" t="s">
        <v>98</v>
      </c>
    </row>
    <row r="25" spans="1:32" ht="30" x14ac:dyDescent="0.25">
      <c r="A25" s="1">
        <v>24</v>
      </c>
      <c r="B25" s="2" t="s">
        <v>49</v>
      </c>
      <c r="C25" s="1" t="s">
        <v>176</v>
      </c>
      <c r="D25" s="2" t="s">
        <v>49</v>
      </c>
      <c r="F25" s="5" t="str">
        <f ca="1">CONCATENATE(Table1[[#This Row],[ACCUSED]],Table1[[#This Row],[DESIGNATION]])</f>
        <v>ABHISHEK KUMARSenior Branch Manager</v>
      </c>
      <c r="G25" s="5" t="s">
        <v>170</v>
      </c>
      <c r="H25" s="2" t="s">
        <v>129</v>
      </c>
      <c r="I25" s="2" t="s">
        <v>158</v>
      </c>
      <c r="L25" s="2" t="s">
        <v>64</v>
      </c>
      <c r="M25" s="2" t="s">
        <v>34</v>
      </c>
      <c r="N25" s="2" t="s">
        <v>74</v>
      </c>
      <c r="O25" s="4">
        <v>44483</v>
      </c>
      <c r="P25" s="5" t="s">
        <v>86</v>
      </c>
      <c r="Q25" s="4">
        <v>44490</v>
      </c>
      <c r="U25" s="1" t="s">
        <v>195</v>
      </c>
      <c r="V25" s="1" t="s">
        <v>103</v>
      </c>
      <c r="X25" s="2" t="s">
        <v>104</v>
      </c>
      <c r="AA25" s="1">
        <v>17</v>
      </c>
      <c r="AB25" s="2" t="str">
        <f>LEFT(Table1[[#This Row],[ZONE]],6)</f>
        <v>653600</v>
      </c>
      <c r="AC25" s="2" t="str">
        <f>LEFT(Table1[[#This Row],[CIRCLEOFFICE]],6)</f>
        <v>748700</v>
      </c>
      <c r="AF25" s="2" t="s">
        <v>99</v>
      </c>
    </row>
    <row r="26" spans="1:32" ht="30" x14ac:dyDescent="0.25">
      <c r="A26" s="1">
        <v>25</v>
      </c>
      <c r="B26" s="2" t="s">
        <v>50</v>
      </c>
      <c r="C26" s="1" t="s">
        <v>176</v>
      </c>
      <c r="D26" s="2" t="s">
        <v>50</v>
      </c>
      <c r="F26" s="5" t="str">
        <f ca="1">CONCATENATE(Table1[[#This Row],[ACCUSED]],Table1[[#This Row],[DESIGNATION]])</f>
        <v>RAJIV RANJAN SAW SR. MANAGER - IT(BD)</v>
      </c>
      <c r="G26" s="5" t="s">
        <v>175</v>
      </c>
      <c r="H26" s="2" t="s">
        <v>130</v>
      </c>
      <c r="I26" s="2" t="s">
        <v>159</v>
      </c>
      <c r="L26" s="2" t="s">
        <v>65</v>
      </c>
      <c r="M26" s="2" t="s">
        <v>34</v>
      </c>
      <c r="N26" s="2" t="s">
        <v>74</v>
      </c>
      <c r="O26" s="4">
        <v>44483</v>
      </c>
      <c r="P26" s="5" t="s">
        <v>87</v>
      </c>
      <c r="Q26" s="4">
        <v>44490</v>
      </c>
      <c r="U26" s="1" t="s">
        <v>195</v>
      </c>
      <c r="V26" s="1" t="s">
        <v>103</v>
      </c>
      <c r="X26" s="2" t="s">
        <v>104</v>
      </c>
      <c r="AA26" s="1">
        <v>17</v>
      </c>
      <c r="AB26" s="2" t="str">
        <f>LEFT(Table1[[#This Row],[ZONE]],6)</f>
        <v>653600</v>
      </c>
      <c r="AC26" s="2" t="str">
        <f>LEFT(Table1[[#This Row],[CIRCLEOFFICE]],6)</f>
        <v>748700</v>
      </c>
      <c r="AF26" s="2" t="s">
        <v>100</v>
      </c>
    </row>
    <row r="27" spans="1:32" ht="60" x14ac:dyDescent="0.25">
      <c r="A27" s="1">
        <v>26</v>
      </c>
      <c r="B27" s="2" t="s">
        <v>51</v>
      </c>
      <c r="C27" s="1" t="s">
        <v>176</v>
      </c>
      <c r="D27" s="2" t="s">
        <v>51</v>
      </c>
      <c r="F27" s="5" t="str">
        <f ca="1">CONCATENATE(Table1[[#This Row],[ACCUSED]],Table1[[#This Row],[DESIGNATION]])</f>
        <v>MUKESH KUMAR PASWAN SR. BRANCH MANAGER</v>
      </c>
      <c r="G27" s="5" t="s">
        <v>169</v>
      </c>
      <c r="H27" s="2" t="s">
        <v>131</v>
      </c>
      <c r="I27" s="2" t="s">
        <v>138</v>
      </c>
      <c r="L27" s="2" t="s">
        <v>66</v>
      </c>
      <c r="M27" s="2" t="s">
        <v>32</v>
      </c>
      <c r="N27" s="2" t="s">
        <v>36</v>
      </c>
      <c r="O27" s="4">
        <v>44483</v>
      </c>
      <c r="P27" s="5" t="s">
        <v>206</v>
      </c>
      <c r="Q27" s="4">
        <v>44490</v>
      </c>
      <c r="U27" s="1" t="s">
        <v>190</v>
      </c>
      <c r="V27" s="1" t="s">
        <v>103</v>
      </c>
      <c r="X27" s="2" t="s">
        <v>104</v>
      </c>
      <c r="AA27" s="1">
        <v>17</v>
      </c>
      <c r="AB27" s="2" t="str">
        <f>LEFT(Table1[[#This Row],[ZONE]],6)</f>
        <v>654000</v>
      </c>
      <c r="AC27" s="2" t="str">
        <f>LEFT(Table1[[#This Row],[CIRCLEOFFICE]],6)</f>
        <v>902700</v>
      </c>
      <c r="AF27" s="2" t="s">
        <v>101</v>
      </c>
    </row>
    <row r="28" spans="1:32" ht="60" x14ac:dyDescent="0.25">
      <c r="A28" s="1">
        <v>27</v>
      </c>
      <c r="B28" s="2" t="s">
        <v>186</v>
      </c>
      <c r="C28" s="1" t="s">
        <v>176</v>
      </c>
      <c r="D28" s="2"/>
      <c r="F28" s="5" t="str">
        <f ca="1">CONCATENATE(Table1[[#This Row],[ACCUSED]],Table1[[#This Row],[DESIGNATION]])</f>
        <v>AMIT SAH SR. BRANCH MANAGER</v>
      </c>
      <c r="G28" s="5" t="s">
        <v>169</v>
      </c>
      <c r="H28" s="2" t="s">
        <v>132</v>
      </c>
      <c r="I28" s="2" t="s">
        <v>160</v>
      </c>
      <c r="L28" s="2" t="s">
        <v>66</v>
      </c>
      <c r="M28" s="2" t="s">
        <v>32</v>
      </c>
      <c r="N28" s="2" t="s">
        <v>36</v>
      </c>
      <c r="O28" s="4">
        <v>44483</v>
      </c>
      <c r="P28" s="5" t="s">
        <v>207</v>
      </c>
      <c r="Q28" s="4">
        <v>44490</v>
      </c>
      <c r="U28" s="1" t="s">
        <v>190</v>
      </c>
      <c r="V28" s="1" t="s">
        <v>103</v>
      </c>
      <c r="X28" s="2" t="s">
        <v>104</v>
      </c>
      <c r="AA28" s="1">
        <v>17</v>
      </c>
      <c r="AB28" s="2" t="str">
        <f>LEFT(Table1[[#This Row],[ZONE]],6)</f>
        <v>654000</v>
      </c>
      <c r="AC28" s="2" t="str">
        <f>LEFT(Table1[[#This Row],[CIRCLEOFFICE]],6)</f>
        <v>902700</v>
      </c>
      <c r="AF28" s="2" t="s">
        <v>101</v>
      </c>
    </row>
    <row r="29" spans="1:32" ht="60" x14ac:dyDescent="0.25">
      <c r="A29" s="1">
        <v>28</v>
      </c>
      <c r="B29" s="2" t="s">
        <v>187</v>
      </c>
      <c r="C29" s="1" t="s">
        <v>176</v>
      </c>
      <c r="D29" s="2"/>
      <c r="F29" s="5" t="str">
        <f ca="1">CONCATENATE(Table1[[#This Row],[ACCUSED]],Table1[[#This Row],[DESIGNATION]])</f>
        <v>AVNEET KUMAR BRANCH MANAGER SCALE-II</v>
      </c>
      <c r="G29" s="5" t="s">
        <v>167</v>
      </c>
      <c r="H29" s="2" t="s">
        <v>133</v>
      </c>
      <c r="I29" s="2" t="s">
        <v>161</v>
      </c>
      <c r="L29" s="2" t="s">
        <v>66</v>
      </c>
      <c r="M29" s="2" t="s">
        <v>32</v>
      </c>
      <c r="N29" s="2" t="s">
        <v>36</v>
      </c>
      <c r="O29" s="4">
        <v>44483</v>
      </c>
      <c r="P29" s="5" t="s">
        <v>207</v>
      </c>
      <c r="Q29" s="4">
        <v>44490</v>
      </c>
      <c r="U29" s="1" t="s">
        <v>190</v>
      </c>
      <c r="V29" s="1" t="s">
        <v>103</v>
      </c>
      <c r="X29" s="2" t="s">
        <v>104</v>
      </c>
      <c r="AA29" s="1">
        <v>17</v>
      </c>
      <c r="AB29" s="2" t="str">
        <f>LEFT(Table1[[#This Row],[ZONE]],6)</f>
        <v>654000</v>
      </c>
      <c r="AC29" s="2" t="str">
        <f>LEFT(Table1[[#This Row],[CIRCLEOFFICE]],6)</f>
        <v>902700</v>
      </c>
      <c r="AF29" s="2" t="s">
        <v>101</v>
      </c>
    </row>
    <row r="30" spans="1:32" ht="30" x14ac:dyDescent="0.25">
      <c r="A30" s="1">
        <v>29</v>
      </c>
      <c r="B30" s="2" t="s">
        <v>52</v>
      </c>
      <c r="C30" s="1" t="s">
        <v>176</v>
      </c>
      <c r="D30" s="2" t="s">
        <v>52</v>
      </c>
      <c r="F30" s="5" t="str">
        <f ca="1">CONCATENATE(Table1[[#This Row],[ACCUSED]],Table1[[#This Row],[DESIGNATION]])</f>
        <v>JAGDISH KUMAR BADSIWAL Chief Manager</v>
      </c>
      <c r="G30" s="5" t="s">
        <v>174</v>
      </c>
      <c r="H30" s="2" t="s">
        <v>134</v>
      </c>
      <c r="I30" s="2" t="s">
        <v>162</v>
      </c>
      <c r="L30" s="2" t="s">
        <v>67</v>
      </c>
      <c r="M30" s="2" t="s">
        <v>80</v>
      </c>
      <c r="N30" s="2" t="s">
        <v>75</v>
      </c>
      <c r="O30" s="4">
        <v>44483</v>
      </c>
      <c r="P30" s="5" t="s">
        <v>208</v>
      </c>
      <c r="Q30" s="4">
        <v>44490</v>
      </c>
      <c r="U30" s="1" t="s">
        <v>188</v>
      </c>
      <c r="V30" s="1" t="s">
        <v>103</v>
      </c>
      <c r="X30" s="2" t="s">
        <v>105</v>
      </c>
      <c r="AA30" s="1">
        <v>17</v>
      </c>
      <c r="AB30" s="2" t="str">
        <f>LEFT(Table1[[#This Row],[ZONE]],6)</f>
        <v>901100</v>
      </c>
      <c r="AC30" s="2" t="str">
        <f>LEFT(Table1[[#This Row],[CIRCLEOFFICE]],6)</f>
        <v>380100</v>
      </c>
      <c r="AF30" s="2" t="s">
        <v>102</v>
      </c>
    </row>
  </sheetData>
  <pageMargins left="0.75" right="0.75" top="0.75" bottom="0.5" header="0.5" footer="0.7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Gaurav</dc:creator>
  <cp:lastModifiedBy>312703</cp:lastModifiedBy>
  <dcterms:created xsi:type="dcterms:W3CDTF">2021-09-09T09:17:10Z</dcterms:created>
  <dcterms:modified xsi:type="dcterms:W3CDTF">2021-10-25T11:33:24Z</dcterms:modified>
</cp:coreProperties>
</file>